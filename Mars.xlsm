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sen\Desktop\"/>
    </mc:Choice>
  </mc:AlternateContent>
  <xr:revisionPtr revIDLastSave="0" documentId="13_ncr:1_{7DB8FCC8-0446-4C84-AF16-DC6EAC862CFE}" xr6:coauthVersionLast="47" xr6:coauthVersionMax="47" xr10:uidLastSave="{00000000-0000-0000-0000-000000000000}"/>
  <bookViews>
    <workbookView xWindow="-120" yWindow="-120" windowWidth="25440" windowHeight="15390" xr2:uid="{FF2ADAF9-4A87-4DA8-B238-C2BC624BCF88}"/>
  </bookViews>
  <sheets>
    <sheet name="Registration" sheetId="1" r:id="rId1"/>
    <sheet name="Bas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2" i="1" l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</calcChain>
</file>

<file path=xl/sharedStrings.xml><?xml version="1.0" encoding="utf-8"?>
<sst xmlns="http://schemas.openxmlformats.org/spreadsheetml/2006/main" count="46" uniqueCount="28">
  <si>
    <t>Դեպի Մարս Աշխատակցի Գրանցման քարտ</t>
  </si>
  <si>
    <t>Անուն</t>
  </si>
  <si>
    <t>Ազգանուն</t>
  </si>
  <si>
    <t>Սեռ</t>
  </si>
  <si>
    <t>Էլ․ հասցե</t>
  </si>
  <si>
    <t>Տարիք</t>
  </si>
  <si>
    <t>Հասակ</t>
  </si>
  <si>
    <t>Քաշ</t>
  </si>
  <si>
    <t>Մասնագիտություն</t>
  </si>
  <si>
    <t>Քրոնիկ հիվանդության
առկայություն</t>
  </si>
  <si>
    <t>Մարզական
վիրճակ</t>
  </si>
  <si>
    <t>Աշխատանքային
փորձ</t>
  </si>
  <si>
    <t>Աշխատանքային փորձ
զրոյական ձգողության
պայմաններում</t>
  </si>
  <si>
    <t>Տիեզերանավի
մոդել</t>
  </si>
  <si>
    <t>Թռիչքի
տեսակը</t>
  </si>
  <si>
    <t>Ռոբոտների կամ դրոնների
կառավարման հմտություններ</t>
  </si>
  <si>
    <t>Աշխատավարձ</t>
  </si>
  <si>
    <t>Թռիչքի
գինը</t>
  </si>
  <si>
    <t>ասդ</t>
  </si>
  <si>
    <t>դսա</t>
  </si>
  <si>
    <t>asd@mail.com</t>
  </si>
  <si>
    <t>Օդաչու</t>
  </si>
  <si>
    <t>Գիտնական</t>
  </si>
  <si>
    <t>Ինժիներ</t>
  </si>
  <si>
    <t>Բժիշկ</t>
  </si>
  <si>
    <t>Կենսաբան</t>
  </si>
  <si>
    <t>Աստղագետ</t>
  </si>
  <si>
    <t>Աշխատավարձն ըստ 
Մասնագիտության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</si>
</sst>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8"/>
      <color rgb="FF000000"/>
      <name val="Segoe UI"/>
      <family val="2"/>
      <charset val="204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2" borderId="8" xfId="0" applyFill="1" applyBorder="1"/>
    <xf numFmtId="0" fontId="0" fillId="2" borderId="0" xfId="0" applyFill="1" applyBorder="1"/>
    <xf numFmtId="0" fontId="0" fillId="2" borderId="9" xfId="0" applyFill="1" applyBorder="1"/>
    <xf numFmtId="0" fontId="0" fillId="2" borderId="0" xfId="0" applyFill="1" applyBorder="1" applyAlignment="1">
      <alignment vertical="center"/>
    </xf>
    <xf numFmtId="0" fontId="0" fillId="2" borderId="0" xfId="0" applyFill="1" applyBorder="1" applyAlignment="1"/>
    <xf numFmtId="0" fontId="0" fillId="2" borderId="8" xfId="0" applyFill="1" applyBorder="1" applyAlignment="1">
      <alignment wrapText="1"/>
    </xf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2" fillId="2" borderId="1" xfId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Spin" dx="22" fmlaLink="$H$6" max="70" min="18" page="10" val="2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Spin" dx="22" fmlaLink="$B$11" max="240" min="120" page="10" val="123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Spin" dx="22" fmlaLink="$H$11" max="115" min="45" page="10" val="52"/>
</file>

<file path=xl/ctrlProps/ctrlProp11.xml><?xml version="1.0" encoding="utf-8"?>
<formControlPr xmlns="http://schemas.microsoft.com/office/spreadsheetml/2009/9/main" objectType="Radio" firstButton="1" fmlaLink="$A$4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Radio" checked="Checked" firstButton="1" fmlaLink="$A$40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checked="Checked" firstButton="1" fmlaLink="$A$42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Drop" dropLines="6" dropStyle="combo" dx="22" fmlaLink="$A$43" fmlaRange="$U$3:$U$8" noThreeD="1" sel="6" val="0"/>
</file>

<file path=xl/ctrlProps/ctrlProp23.xml><?xml version="1.0" encoding="utf-8"?>
<formControlPr xmlns="http://schemas.microsoft.com/office/spreadsheetml/2009/9/main" objectType="Label" lockText="1"/>
</file>

<file path=xl/ctrlProps/ctrlProp24.xml><?xml version="1.0" encoding="utf-8"?>
<formControlPr xmlns="http://schemas.microsoft.com/office/spreadsheetml/2009/9/main" objectType="Label" lockText="1"/>
</file>

<file path=xl/ctrlProps/ctrlProp25.xml><?xml version="1.0" encoding="utf-8"?>
<formControlPr xmlns="http://schemas.microsoft.com/office/spreadsheetml/2009/9/main" objectType="Spin" dx="22" fmlaLink="$H$21" max="115" page="10" val="6"/>
</file>

<file path=xl/ctrlProps/ctrlProp26.xml><?xml version="1.0" encoding="utf-8"?>
<formControlPr xmlns="http://schemas.microsoft.com/office/spreadsheetml/2009/9/main" objectType="Radio" firstButton="1" fmlaLink="$A$44" lockText="1" noThreeD="1"/>
</file>

<file path=xl/ctrlProps/ctrlProp27.xml><?xml version="1.0" encoding="utf-8"?>
<formControlPr xmlns="http://schemas.microsoft.com/office/spreadsheetml/2009/9/main" objectType="Radio" checked="Checked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Radio" checked="Checked" firstButton="1" fmlaLink="$A$45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firstButton="1" fmlaLink="$A$46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GBox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Radio" checked="Checked" firstButton="1" fmlaLink="$A$47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2</xdr:row>
          <xdr:rowOff>28575</xdr:rowOff>
        </xdr:from>
        <xdr:to>
          <xdr:col>1</xdr:col>
          <xdr:colOff>438150</xdr:colOff>
          <xdr:row>4</xdr:row>
          <xdr:rowOff>19050</xdr:rowOff>
        </xdr:to>
        <xdr:sp macro="" textlink="">
          <xdr:nvSpPr>
            <xdr:cNvPr id="1025" name="Labe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Անուն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Ազգանուն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</xdr:row>
          <xdr:rowOff>9525</xdr:rowOff>
        </xdr:from>
        <xdr:to>
          <xdr:col>9</xdr:col>
          <xdr:colOff>438150</xdr:colOff>
          <xdr:row>7</xdr:row>
          <xdr:rowOff>152400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Անձնական տեղեկություն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142875</xdr:colOff>
          <xdr:row>3</xdr:row>
          <xdr:rowOff>171450</xdr:rowOff>
        </xdr:from>
        <xdr:to>
          <xdr:col>8</xdr:col>
          <xdr:colOff>228600</xdr:colOff>
          <xdr:row>4</xdr:row>
          <xdr:rowOff>171450</xdr:rowOff>
        </xdr:to>
        <xdr:sp macro="" textlink="">
          <xdr:nvSpPr>
            <xdr:cNvPr id="1035" name="Label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Տարիք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5</xdr:row>
          <xdr:rowOff>9525</xdr:rowOff>
        </xdr:from>
        <xdr:to>
          <xdr:col>8</xdr:col>
          <xdr:colOff>381000</xdr:colOff>
          <xdr:row>7</xdr:row>
          <xdr:rowOff>0</xdr:rowOff>
        </xdr:to>
        <xdr:sp macro="" textlink="">
          <xdr:nvSpPr>
            <xdr:cNvPr id="1036" name="Spinner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4</xdr:row>
          <xdr:rowOff>161925</xdr:rowOff>
        </xdr:from>
        <xdr:to>
          <xdr:col>1</xdr:col>
          <xdr:colOff>323850</xdr:colOff>
          <xdr:row>5</xdr:row>
          <xdr:rowOff>161925</xdr:rowOff>
        </xdr:to>
        <xdr:sp macro="" textlink="">
          <xdr:nvSpPr>
            <xdr:cNvPr id="1037" name="Label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Էլ․ հասցե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8</xdr:row>
          <xdr:rowOff>47625</xdr:rowOff>
        </xdr:from>
        <xdr:to>
          <xdr:col>9</xdr:col>
          <xdr:colOff>447675</xdr:colOff>
          <xdr:row>16</xdr:row>
          <xdr:rowOff>104775</xdr:rowOff>
        </xdr:to>
        <xdr:sp macro="" textlink="">
          <xdr:nvSpPr>
            <xdr:cNvPr id="1038" name="Group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Ֆիզիկական պատրաստվածություն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8</xdr:row>
          <xdr:rowOff>161925</xdr:rowOff>
        </xdr:from>
        <xdr:to>
          <xdr:col>3</xdr:col>
          <xdr:colOff>161925</xdr:colOff>
          <xdr:row>9</xdr:row>
          <xdr:rowOff>152400</xdr:rowOff>
        </xdr:to>
        <xdr:sp macro="" textlink="">
          <xdr:nvSpPr>
            <xdr:cNvPr id="1039" name="Label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Հասակ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9</xdr:row>
          <xdr:rowOff>190500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40" name="Spinner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8</xdr:row>
          <xdr:rowOff>152400</xdr:rowOff>
        </xdr:from>
        <xdr:to>
          <xdr:col>8</xdr:col>
          <xdr:colOff>190500</xdr:colOff>
          <xdr:row>9</xdr:row>
          <xdr:rowOff>142875</xdr:rowOff>
        </xdr:to>
        <xdr:sp macro="" textlink="">
          <xdr:nvSpPr>
            <xdr:cNvPr id="1043" name="Label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Քաշ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9</xdr:row>
          <xdr:rowOff>190500</xdr:rowOff>
        </xdr:from>
        <xdr:to>
          <xdr:col>9</xdr:col>
          <xdr:colOff>0</xdr:colOff>
          <xdr:row>12</xdr:row>
          <xdr:rowOff>9525</xdr:rowOff>
        </xdr:to>
        <xdr:sp macro="" textlink="">
          <xdr:nvSpPr>
            <xdr:cNvPr id="1045" name="Spinner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657225</xdr:colOff>
          <xdr:row>13</xdr:row>
          <xdr:rowOff>171450</xdr:rowOff>
        </xdr:from>
        <xdr:to>
          <xdr:col>2</xdr:col>
          <xdr:colOff>28575</xdr:colOff>
          <xdr:row>15</xdr:row>
          <xdr:rowOff>9525</xdr:rowOff>
        </xdr:to>
        <xdr:sp macro="" textlink="">
          <xdr:nvSpPr>
            <xdr:cNvPr id="1050" name="Option 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Այո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13</xdr:row>
          <xdr:rowOff>161925</xdr:rowOff>
        </xdr:from>
        <xdr:to>
          <xdr:col>3</xdr:col>
          <xdr:colOff>257175</xdr:colOff>
          <xdr:row>15</xdr:row>
          <xdr:rowOff>0</xdr:rowOff>
        </xdr:to>
        <xdr:sp macro="" textlink="">
          <xdr:nvSpPr>
            <xdr:cNvPr id="1051" name="Option 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Ոչ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13</xdr:row>
          <xdr:rowOff>28575</xdr:rowOff>
        </xdr:from>
        <xdr:to>
          <xdr:col>4</xdr:col>
          <xdr:colOff>304800</xdr:colOff>
          <xdr:row>15</xdr:row>
          <xdr:rowOff>47625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Ունե՞ք քրոնիկ հիվանդություն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13</xdr:row>
          <xdr:rowOff>19050</xdr:rowOff>
        </xdr:from>
        <xdr:to>
          <xdr:col>9</xdr:col>
          <xdr:colOff>381000</xdr:colOff>
          <xdr:row>15</xdr:row>
          <xdr:rowOff>38100</xdr:rowOff>
        </xdr:to>
        <xdr:sp macro="" textlink="">
          <xdr:nvSpPr>
            <xdr:cNvPr id="1053" name="Group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Մարզական վիճակ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</xdr:row>
          <xdr:rowOff>0</xdr:rowOff>
        </xdr:from>
        <xdr:to>
          <xdr:col>9</xdr:col>
          <xdr:colOff>247650</xdr:colOff>
          <xdr:row>3</xdr:row>
          <xdr:rowOff>161925</xdr:rowOff>
        </xdr:to>
        <xdr:sp macro="" textlink="">
          <xdr:nvSpPr>
            <xdr:cNvPr id="1057" name="Group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Սեռ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504825</xdr:colOff>
          <xdr:row>2</xdr:row>
          <xdr:rowOff>95250</xdr:rowOff>
        </xdr:from>
        <xdr:to>
          <xdr:col>6</xdr:col>
          <xdr:colOff>342900</xdr:colOff>
          <xdr:row>3</xdr:row>
          <xdr:rowOff>123825</xdr:rowOff>
        </xdr:to>
        <xdr:sp macro="" textlink="">
          <xdr:nvSpPr>
            <xdr:cNvPr id="1060" name="Option 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Արական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2</xdr:row>
          <xdr:rowOff>85725</xdr:rowOff>
        </xdr:from>
        <xdr:to>
          <xdr:col>8</xdr:col>
          <xdr:colOff>304800</xdr:colOff>
          <xdr:row>3</xdr:row>
          <xdr:rowOff>114300</xdr:rowOff>
        </xdr:to>
        <xdr:sp macro="" textlink="">
          <xdr:nvSpPr>
            <xdr:cNvPr id="1061" name="Option 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Իգական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13</xdr:row>
          <xdr:rowOff>161925</xdr:rowOff>
        </xdr:from>
        <xdr:to>
          <xdr:col>6</xdr:col>
          <xdr:colOff>66675</xdr:colOff>
          <xdr:row>15</xdr:row>
          <xdr:rowOff>0</xdr:rowOff>
        </xdr:to>
        <xdr:sp macro="" textlink="">
          <xdr:nvSpPr>
            <xdr:cNvPr id="1076" name="Option 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Վատ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13</xdr:row>
          <xdr:rowOff>161925</xdr:rowOff>
        </xdr:from>
        <xdr:to>
          <xdr:col>8</xdr:col>
          <xdr:colOff>76200</xdr:colOff>
          <xdr:row>15</xdr:row>
          <xdr:rowOff>0</xdr:rowOff>
        </xdr:to>
        <xdr:sp macro="" textlink="">
          <xdr:nvSpPr>
            <xdr:cNvPr id="1077" name="Option 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Միջակ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238125</xdr:colOff>
          <xdr:row>13</xdr:row>
          <xdr:rowOff>152400</xdr:rowOff>
        </xdr:from>
        <xdr:to>
          <xdr:col>9</xdr:col>
          <xdr:colOff>276225</xdr:colOff>
          <xdr:row>14</xdr:row>
          <xdr:rowOff>180975</xdr:rowOff>
        </xdr:to>
        <xdr:sp macro="" textlink="">
          <xdr:nvSpPr>
            <xdr:cNvPr id="1078" name="Option 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Լավ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17</xdr:row>
          <xdr:rowOff>0</xdr:rowOff>
        </xdr:from>
        <xdr:to>
          <xdr:col>9</xdr:col>
          <xdr:colOff>457200</xdr:colOff>
          <xdr:row>25</xdr:row>
          <xdr:rowOff>114300</xdr:rowOff>
        </xdr:to>
        <xdr:sp macro="" textlink="">
          <xdr:nvSpPr>
            <xdr:cNvPr id="1080" name="Group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Մասնագիտական տեղեկություն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19</xdr:row>
          <xdr:rowOff>9525</xdr:rowOff>
        </xdr:from>
        <xdr:to>
          <xdr:col>5</xdr:col>
          <xdr:colOff>381000</xdr:colOff>
          <xdr:row>20</xdr:row>
          <xdr:rowOff>0</xdr:rowOff>
        </xdr:to>
        <xdr:sp macro="" textlink="">
          <xdr:nvSpPr>
            <xdr:cNvPr id="1082" name="Drop Dow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381000</xdr:colOff>
          <xdr:row>19</xdr:row>
          <xdr:rowOff>0</xdr:rowOff>
        </xdr:from>
        <xdr:ext cx="1028700" cy="171450"/>
        <xdr:sp macro="" textlink="">
          <xdr:nvSpPr>
            <xdr:cNvPr id="1083" name="Label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9144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Մասնագիտություն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179243</xdr:colOff>
          <xdr:row>18</xdr:row>
          <xdr:rowOff>142875</xdr:rowOff>
        </xdr:from>
        <xdr:ext cx="1247775" cy="171450"/>
        <xdr:sp macro="" textlink="">
          <xdr:nvSpPr>
            <xdr:cNvPr id="1085" name="Label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9144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Աշխատանքային Փորձ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180975</xdr:rowOff>
        </xdr:from>
        <xdr:to>
          <xdr:col>8</xdr:col>
          <xdr:colOff>381000</xdr:colOff>
          <xdr:row>21</xdr:row>
          <xdr:rowOff>190500</xdr:rowOff>
        </xdr:to>
        <xdr:sp macro="" textlink="">
          <xdr:nvSpPr>
            <xdr:cNvPr id="1087" name="Spinner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361950</xdr:colOff>
          <xdr:row>23</xdr:row>
          <xdr:rowOff>142875</xdr:rowOff>
        </xdr:from>
        <xdr:to>
          <xdr:col>4</xdr:col>
          <xdr:colOff>47625</xdr:colOff>
          <xdr:row>24</xdr:row>
          <xdr:rowOff>171450</xdr:rowOff>
        </xdr:to>
        <xdr:sp macro="" textlink="">
          <xdr:nvSpPr>
            <xdr:cNvPr id="1091" name="Option 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Այո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23</xdr:row>
          <xdr:rowOff>152400</xdr:rowOff>
        </xdr:from>
        <xdr:to>
          <xdr:col>5</xdr:col>
          <xdr:colOff>552450</xdr:colOff>
          <xdr:row>24</xdr:row>
          <xdr:rowOff>180975</xdr:rowOff>
        </xdr:to>
        <xdr:sp macro="" textlink="">
          <xdr:nvSpPr>
            <xdr:cNvPr id="1092" name="Option 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Ոչ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22</xdr:row>
          <xdr:rowOff>190500</xdr:rowOff>
        </xdr:from>
        <xdr:to>
          <xdr:col>9</xdr:col>
          <xdr:colOff>161925</xdr:colOff>
          <xdr:row>25</xdr:row>
          <xdr:rowOff>0</xdr:rowOff>
        </xdr:to>
        <xdr:sp macro="" textlink="">
          <xdr:nvSpPr>
            <xdr:cNvPr id="1093" name="Group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Ունե՞ք աշխատանքային փորձ, զրոյական ձգողության պայմաններում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26</xdr:row>
          <xdr:rowOff>0</xdr:rowOff>
        </xdr:from>
        <xdr:to>
          <xdr:col>9</xdr:col>
          <xdr:colOff>457200</xdr:colOff>
          <xdr:row>33</xdr:row>
          <xdr:rowOff>0</xdr:rowOff>
        </xdr:to>
        <xdr:sp macro="" textlink="">
          <xdr:nvSpPr>
            <xdr:cNvPr id="1095" name="Group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Տեխնիկական տեղեկություն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27</xdr:row>
          <xdr:rowOff>0</xdr:rowOff>
        </xdr:from>
        <xdr:to>
          <xdr:col>5</xdr:col>
          <xdr:colOff>323850</xdr:colOff>
          <xdr:row>29</xdr:row>
          <xdr:rowOff>19050</xdr:rowOff>
        </xdr:to>
        <xdr:sp macro="" textlink="">
          <xdr:nvSpPr>
            <xdr:cNvPr id="1100" name="Group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Տիեզերանավի մոդելը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409575</xdr:colOff>
          <xdr:row>27</xdr:row>
          <xdr:rowOff>142875</xdr:rowOff>
        </xdr:from>
        <xdr:to>
          <xdr:col>1</xdr:col>
          <xdr:colOff>123825</xdr:colOff>
          <xdr:row>28</xdr:row>
          <xdr:rowOff>171450</xdr:rowOff>
        </xdr:to>
        <xdr:sp macro="" textlink="">
          <xdr:nvSpPr>
            <xdr:cNvPr id="1101" name="Option 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Apollo 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27</xdr:row>
          <xdr:rowOff>142875</xdr:rowOff>
        </xdr:from>
        <xdr:to>
          <xdr:col>3</xdr:col>
          <xdr:colOff>123825</xdr:colOff>
          <xdr:row>28</xdr:row>
          <xdr:rowOff>171450</xdr:rowOff>
        </xdr:to>
        <xdr:sp macro="" textlink="">
          <xdr:nvSpPr>
            <xdr:cNvPr id="1102" name="Option 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Starship 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27</xdr:row>
          <xdr:rowOff>142875</xdr:rowOff>
        </xdr:from>
        <xdr:to>
          <xdr:col>5</xdr:col>
          <xdr:colOff>266700</xdr:colOff>
          <xdr:row>28</xdr:row>
          <xdr:rowOff>171450</xdr:rowOff>
        </xdr:to>
        <xdr:sp macro="" textlink="">
          <xdr:nvSpPr>
            <xdr:cNvPr id="1103" name="Option 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Artemis II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27</xdr:row>
          <xdr:rowOff>142875</xdr:rowOff>
        </xdr:from>
        <xdr:to>
          <xdr:col>7</xdr:col>
          <xdr:colOff>333375</xdr:colOff>
          <xdr:row>28</xdr:row>
          <xdr:rowOff>171450</xdr:rowOff>
        </xdr:to>
        <xdr:sp macro="" textlink="">
          <xdr:nvSpPr>
            <xdr:cNvPr id="1107" name="Option 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Միայնակ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27</xdr:row>
          <xdr:rowOff>133350</xdr:rowOff>
        </xdr:from>
        <xdr:to>
          <xdr:col>9</xdr:col>
          <xdr:colOff>266700</xdr:colOff>
          <xdr:row>28</xdr:row>
          <xdr:rowOff>171450</xdr:rowOff>
        </xdr:to>
        <xdr:sp macro="" textlink="">
          <xdr:nvSpPr>
            <xdr:cNvPr id="1108" name="Option 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Խմբային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26</xdr:row>
          <xdr:rowOff>190500</xdr:rowOff>
        </xdr:from>
        <xdr:to>
          <xdr:col>9</xdr:col>
          <xdr:colOff>323850</xdr:colOff>
          <xdr:row>29</xdr:row>
          <xdr:rowOff>19050</xdr:rowOff>
        </xdr:to>
        <xdr:sp macro="" textlink="">
          <xdr:nvSpPr>
            <xdr:cNvPr id="1109" name="Group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Թռիչքի տեսակը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30</xdr:row>
          <xdr:rowOff>9525</xdr:rowOff>
        </xdr:from>
        <xdr:to>
          <xdr:col>9</xdr:col>
          <xdr:colOff>323850</xdr:colOff>
          <xdr:row>32</xdr:row>
          <xdr:rowOff>95250</xdr:rowOff>
        </xdr:to>
        <xdr:sp macro="" textlink="">
          <xdr:nvSpPr>
            <xdr:cNvPr id="1110" name="Group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Ռոբոտների կամ դրոնների կառավարման հմտություններ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142875</xdr:rowOff>
        </xdr:from>
        <xdr:to>
          <xdr:col>4</xdr:col>
          <xdr:colOff>66675</xdr:colOff>
          <xdr:row>31</xdr:row>
          <xdr:rowOff>171450</xdr:rowOff>
        </xdr:to>
        <xdr:sp macro="" textlink="">
          <xdr:nvSpPr>
            <xdr:cNvPr id="1113" name="Option 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Այո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30</xdr:row>
          <xdr:rowOff>152400</xdr:rowOff>
        </xdr:from>
        <xdr:to>
          <xdr:col>5</xdr:col>
          <xdr:colOff>571500</xdr:colOff>
          <xdr:row>31</xdr:row>
          <xdr:rowOff>180975</xdr:rowOff>
        </xdr:to>
        <xdr:sp macro="" textlink="">
          <xdr:nvSpPr>
            <xdr:cNvPr id="1114" name="Option 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Ոչ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942975</xdr:colOff>
          <xdr:row>18</xdr:row>
          <xdr:rowOff>9525</xdr:rowOff>
        </xdr:from>
        <xdr:to>
          <xdr:col>14</xdr:col>
          <xdr:colOff>0</xdr:colOff>
          <xdr:row>20</xdr:row>
          <xdr:rowOff>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14</xdr:col>
          <xdr:colOff>9525</xdr:colOff>
          <xdr:row>24</xdr:row>
          <xdr:rowOff>9525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" Type="http://schemas.openxmlformats.org/officeDocument/2006/relationships/hyperlink" Target="mailto:asd@mail.com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CF859-DF5C-44C7-8FB1-7F5DAFDFBAB9}">
  <sheetPr codeName="Sheet1"/>
  <dimension ref="A1:AC47"/>
  <sheetViews>
    <sheetView tabSelected="1" zoomScale="55" zoomScaleNormal="55" workbookViewId="0">
      <selection activeCell="L36" sqref="L36"/>
    </sheetView>
  </sheetViews>
  <sheetFormatPr defaultRowHeight="15" x14ac:dyDescent="0.25"/>
  <cols>
    <col min="1" max="1" width="10.28515625" customWidth="1"/>
    <col min="2" max="2" width="5.85546875" customWidth="1"/>
    <col min="3" max="5" width="5.7109375" customWidth="1"/>
    <col min="7" max="9" width="5.7109375" customWidth="1"/>
    <col min="10" max="10" width="8.5703125" customWidth="1"/>
    <col min="12" max="13" width="14.28515625" customWidth="1"/>
    <col min="14" max="14" width="9.42578125" customWidth="1"/>
    <col min="15" max="15" width="21.42578125" customWidth="1"/>
    <col min="16" max="16" width="8" customWidth="1"/>
    <col min="17" max="17" width="8.5703125" customWidth="1"/>
    <col min="18" max="18" width="5.5703125" customWidth="1"/>
    <col min="19" max="19" width="23.42578125" customWidth="1"/>
    <col min="20" max="20" width="12.140625" customWidth="1"/>
    <col min="21" max="21" width="20" customWidth="1"/>
    <col min="22" max="22" width="21.85546875" customWidth="1"/>
    <col min="23" max="23" width="23.7109375" customWidth="1"/>
    <col min="24" max="24" width="30.28515625" customWidth="1"/>
    <col min="25" max="26" width="15.7109375" customWidth="1"/>
    <col min="27" max="27" width="25.85546875" customWidth="1"/>
    <col min="28" max="28" width="15.28515625" customWidth="1"/>
  </cols>
  <sheetData>
    <row r="1" spans="1:29" ht="45" customHeight="1" x14ac:dyDescent="0.25">
      <c r="A1" s="17" t="s">
        <v>0</v>
      </c>
      <c r="B1" s="18"/>
      <c r="C1" s="18"/>
      <c r="D1" s="18"/>
      <c r="E1" s="18"/>
      <c r="F1" s="18"/>
      <c r="G1" s="18"/>
      <c r="H1" s="18"/>
      <c r="I1" s="18"/>
      <c r="J1" s="19"/>
      <c r="L1" s="2" t="s">
        <v>1</v>
      </c>
      <c r="M1" s="2" t="s">
        <v>2</v>
      </c>
      <c r="N1" s="2" t="s">
        <v>3</v>
      </c>
      <c r="O1" s="2" t="s">
        <v>4</v>
      </c>
      <c r="P1" s="2" t="s">
        <v>5</v>
      </c>
      <c r="Q1" s="2" t="s">
        <v>6</v>
      </c>
      <c r="R1" s="2" t="s">
        <v>7</v>
      </c>
      <c r="S1" s="13" t="s">
        <v>9</v>
      </c>
      <c r="T1" s="13" t="s">
        <v>10</v>
      </c>
      <c r="U1" s="2" t="s">
        <v>8</v>
      </c>
      <c r="V1" s="16" t="s">
        <v>27</v>
      </c>
      <c r="W1" s="14" t="s">
        <v>11</v>
      </c>
      <c r="X1" s="13" t="s">
        <v>12</v>
      </c>
      <c r="Y1" s="13" t="s">
        <v>13</v>
      </c>
      <c r="Z1" s="13" t="s">
        <v>14</v>
      </c>
      <c r="AA1" s="13" t="s">
        <v>15</v>
      </c>
      <c r="AB1" s="13" t="s">
        <v>16</v>
      </c>
      <c r="AC1" s="13" t="s">
        <v>17</v>
      </c>
    </row>
    <row r="2" spans="1:29" x14ac:dyDescent="0.25">
      <c r="A2" s="3"/>
      <c r="B2" s="4"/>
      <c r="C2" s="4"/>
      <c r="D2" s="4"/>
      <c r="E2" s="4"/>
      <c r="F2" s="4"/>
      <c r="G2" s="4"/>
      <c r="H2" s="4"/>
      <c r="I2" s="4"/>
      <c r="J2" s="5"/>
      <c r="L2" s="2" t="str">
        <f>C3</f>
        <v>ասդ</v>
      </c>
      <c r="M2" s="2" t="str">
        <f>C4</f>
        <v>դսա</v>
      </c>
      <c r="N2" s="2" t="str">
        <f>IF(A40=1,"Արական","Իգական")</f>
        <v>Արական</v>
      </c>
      <c r="O2" s="2" t="str">
        <f>C6</f>
        <v>asd@mail.com</v>
      </c>
      <c r="P2" s="2">
        <f>H6</f>
        <v>21</v>
      </c>
      <c r="Q2" s="2">
        <f>B11</f>
        <v>123</v>
      </c>
      <c r="R2" s="2">
        <f>H11</f>
        <v>52</v>
      </c>
      <c r="S2" s="2" t="str">
        <f>IF(A41=1,"Այո","Ոչ")</f>
        <v>Ոչ</v>
      </c>
      <c r="T2" s="2" t="str">
        <f>IF(A42=1,"Վատ",IF(A42=2,"Միջակ","Լավ"))</f>
        <v>Վատ</v>
      </c>
      <c r="U2" s="2" t="str">
        <f>IF(A43=1,U3,IF(A43=2,U4,IF(A43=3,U5,IF(A43=4,U6,IF(A43=5,U7,U8)))))</f>
        <v>Աստղագետ</v>
      </c>
      <c r="V2" s="1">
        <f>IF(A43=1,V3,IF(A43=2,V4,IF(A43=3,V5,IF(A43=4,V6,IF(A43=5,V7,V8)))))</f>
        <v>900000</v>
      </c>
      <c r="W2" s="15">
        <f>H21</f>
        <v>6</v>
      </c>
      <c r="X2" s="2" t="str">
        <f>IF(A44=1,"Այո","Ոչ")</f>
        <v>Ոչ</v>
      </c>
      <c r="Y2" s="2" t="str">
        <f>IF(A45=1,"Apollo I",IF(A45=2,"Starship X","Artemis II"))</f>
        <v>Apollo I</v>
      </c>
      <c r="Z2" s="2" t="str">
        <f>IF(A46=1,"Միայնակ","Խմբային")</f>
        <v>Խմբային</v>
      </c>
      <c r="AA2" s="2" t="str">
        <f>IF(A47=1,"Այո","Ոչ")</f>
        <v>Այո</v>
      </c>
      <c r="AB2" s="2">
        <f>IF(A41=2,V2+(((V2*5)/100)*W2)+(IF(A42=2,25000,IF(A42=3,50000)))+(IF(A47=1,100000,0)),0)</f>
        <v>1270000</v>
      </c>
      <c r="AC2" s="2">
        <f>IF(A45=1,IF(A46=1,20000000,10000000),IF(A45=2,IF(A46=1,20000000,5000000),IF(A46=1,10000000,1000000)))</f>
        <v>10000000</v>
      </c>
    </row>
    <row r="3" spans="1:29" x14ac:dyDescent="0.25">
      <c r="A3" s="3"/>
      <c r="B3" s="4"/>
      <c r="C3" s="23" t="s">
        <v>18</v>
      </c>
      <c r="D3" s="23"/>
      <c r="E3" s="23"/>
      <c r="F3" s="4"/>
      <c r="G3" s="4"/>
      <c r="H3" s="4"/>
      <c r="I3" s="4"/>
      <c r="J3" s="5"/>
      <c r="U3" s="1" t="s">
        <v>21</v>
      </c>
      <c r="V3" s="1">
        <v>400000</v>
      </c>
    </row>
    <row r="4" spans="1:29" x14ac:dyDescent="0.25">
      <c r="A4" s="3"/>
      <c r="B4" s="4"/>
      <c r="C4" s="23" t="s">
        <v>19</v>
      </c>
      <c r="D4" s="23"/>
      <c r="E4" s="23"/>
      <c r="F4" s="4"/>
      <c r="G4" s="4"/>
      <c r="H4" s="4"/>
      <c r="I4" s="4"/>
      <c r="J4" s="5"/>
      <c r="U4" s="1" t="s">
        <v>22</v>
      </c>
      <c r="V4" s="1">
        <v>500000</v>
      </c>
    </row>
    <row r="5" spans="1:29" x14ac:dyDescent="0.25">
      <c r="A5" s="3"/>
      <c r="B5" s="4"/>
      <c r="C5" s="4"/>
      <c r="D5" s="4"/>
      <c r="E5" s="4"/>
      <c r="F5" s="4"/>
      <c r="G5" s="4"/>
      <c r="H5" s="4"/>
      <c r="I5" s="4"/>
      <c r="J5" s="5"/>
      <c r="U5" s="1" t="s">
        <v>23</v>
      </c>
      <c r="V5" s="1">
        <v>600000</v>
      </c>
    </row>
    <row r="6" spans="1:29" x14ac:dyDescent="0.25">
      <c r="A6" s="3"/>
      <c r="B6" s="4"/>
      <c r="C6" s="24" t="s">
        <v>20</v>
      </c>
      <c r="D6" s="23"/>
      <c r="E6" s="23"/>
      <c r="F6" s="4"/>
      <c r="G6" s="4"/>
      <c r="H6" s="20">
        <v>21</v>
      </c>
      <c r="I6" s="4"/>
      <c r="J6" s="5"/>
      <c r="U6" s="1" t="s">
        <v>24</v>
      </c>
      <c r="V6" s="1">
        <v>700000</v>
      </c>
    </row>
    <row r="7" spans="1:29" ht="15" customHeight="1" x14ac:dyDescent="0.25">
      <c r="A7" s="3"/>
      <c r="B7" s="4"/>
      <c r="C7" s="4"/>
      <c r="D7" s="4"/>
      <c r="E7" s="4"/>
      <c r="F7" s="4"/>
      <c r="G7" s="4"/>
      <c r="H7" s="20"/>
      <c r="I7" s="4"/>
      <c r="J7" s="5"/>
      <c r="U7" s="1" t="s">
        <v>25</v>
      </c>
      <c r="V7" s="1">
        <v>800000</v>
      </c>
    </row>
    <row r="8" spans="1:29" x14ac:dyDescent="0.25">
      <c r="A8" s="3"/>
      <c r="B8" s="4"/>
      <c r="C8" s="4"/>
      <c r="D8" s="4"/>
      <c r="E8" s="4"/>
      <c r="F8" s="4"/>
      <c r="G8" s="4"/>
      <c r="H8" s="4"/>
      <c r="I8" s="4"/>
      <c r="J8" s="5"/>
      <c r="U8" s="1" t="s">
        <v>26</v>
      </c>
      <c r="V8" s="1">
        <v>900000</v>
      </c>
    </row>
    <row r="9" spans="1:29" x14ac:dyDescent="0.25">
      <c r="A9" s="3"/>
      <c r="B9" s="4"/>
      <c r="C9" s="4"/>
      <c r="D9" s="4"/>
      <c r="E9" s="4"/>
      <c r="F9" s="4"/>
      <c r="G9" s="4"/>
      <c r="H9" s="4"/>
      <c r="I9" s="4"/>
      <c r="J9" s="5"/>
    </row>
    <row r="10" spans="1:29" x14ac:dyDescent="0.25">
      <c r="A10" s="3"/>
      <c r="B10" s="6"/>
      <c r="C10" s="4"/>
      <c r="D10" s="4"/>
      <c r="E10" s="4"/>
      <c r="F10" s="4"/>
      <c r="G10" s="4"/>
      <c r="H10" s="7"/>
      <c r="I10" s="4"/>
      <c r="J10" s="5"/>
    </row>
    <row r="11" spans="1:29" x14ac:dyDescent="0.25">
      <c r="A11" s="3"/>
      <c r="B11" s="21">
        <v>123</v>
      </c>
      <c r="C11" s="4"/>
      <c r="D11" s="4"/>
      <c r="E11" s="4"/>
      <c r="F11" s="4"/>
      <c r="G11" s="4"/>
      <c r="H11" s="21">
        <v>52</v>
      </c>
      <c r="I11" s="4"/>
      <c r="J11" s="5"/>
    </row>
    <row r="12" spans="1:29" x14ac:dyDescent="0.25">
      <c r="A12" s="8"/>
      <c r="B12" s="22"/>
      <c r="C12" s="4"/>
      <c r="D12" s="4"/>
      <c r="E12" s="4"/>
      <c r="F12" s="4"/>
      <c r="G12" s="4"/>
      <c r="H12" s="22"/>
      <c r="I12" s="4"/>
      <c r="J12" s="5"/>
    </row>
    <row r="13" spans="1:29" x14ac:dyDescent="0.25">
      <c r="A13" s="3"/>
      <c r="B13" s="4"/>
      <c r="C13" s="4"/>
      <c r="D13" s="4"/>
      <c r="E13" s="4"/>
      <c r="F13" s="4"/>
      <c r="G13" s="4"/>
      <c r="H13" s="4"/>
      <c r="I13" s="4"/>
      <c r="J13" s="5"/>
    </row>
    <row r="14" spans="1:29" x14ac:dyDescent="0.25">
      <c r="A14" s="3"/>
      <c r="B14" s="4"/>
      <c r="C14" s="4"/>
      <c r="D14" s="4"/>
      <c r="E14" s="4"/>
      <c r="F14" s="4"/>
      <c r="G14" s="4"/>
      <c r="H14" s="4"/>
      <c r="I14" s="4"/>
      <c r="J14" s="5"/>
    </row>
    <row r="15" spans="1:29" x14ac:dyDescent="0.25">
      <c r="A15" s="3"/>
      <c r="B15" s="4"/>
      <c r="C15" s="4"/>
      <c r="D15" s="4"/>
      <c r="E15" s="4"/>
      <c r="F15" s="4"/>
      <c r="G15" s="4"/>
      <c r="H15" s="4"/>
      <c r="I15" s="4"/>
      <c r="J15" s="5"/>
    </row>
    <row r="16" spans="1:29" x14ac:dyDescent="0.25">
      <c r="A16" s="3"/>
      <c r="B16" s="4"/>
      <c r="C16" s="4"/>
      <c r="D16" s="4"/>
      <c r="E16" s="4"/>
      <c r="F16" s="4"/>
      <c r="G16" s="4"/>
      <c r="H16" s="4"/>
      <c r="I16" s="4"/>
      <c r="J16" s="5"/>
    </row>
    <row r="17" spans="1:10" x14ac:dyDescent="0.25">
      <c r="A17" s="3"/>
      <c r="B17" s="4"/>
      <c r="C17" s="4"/>
      <c r="D17" s="4"/>
      <c r="E17" s="4"/>
      <c r="F17" s="4"/>
      <c r="G17" s="4"/>
      <c r="H17" s="4"/>
      <c r="I17" s="4"/>
      <c r="J17" s="5"/>
    </row>
    <row r="18" spans="1:10" x14ac:dyDescent="0.25">
      <c r="A18" s="3"/>
      <c r="B18" s="4"/>
      <c r="C18" s="4"/>
      <c r="D18" s="4"/>
      <c r="E18" s="4"/>
      <c r="F18" s="4"/>
      <c r="G18" s="4"/>
      <c r="H18" s="4"/>
      <c r="I18" s="4"/>
      <c r="J18" s="5"/>
    </row>
    <row r="19" spans="1:10" x14ac:dyDescent="0.25">
      <c r="A19" s="3"/>
      <c r="B19" s="4"/>
      <c r="C19" s="4"/>
      <c r="D19" s="4"/>
      <c r="E19" s="4"/>
      <c r="F19" s="4"/>
      <c r="G19" s="4"/>
      <c r="H19" s="4"/>
      <c r="I19" s="4"/>
      <c r="J19" s="5"/>
    </row>
    <row r="20" spans="1:10" x14ac:dyDescent="0.25">
      <c r="A20" s="3"/>
      <c r="B20" s="4"/>
      <c r="C20" s="4"/>
      <c r="D20" s="4"/>
      <c r="E20" s="4"/>
      <c r="F20" s="4"/>
      <c r="G20" s="4"/>
      <c r="H20" s="7"/>
      <c r="I20" s="4"/>
      <c r="J20" s="5"/>
    </row>
    <row r="21" spans="1:10" x14ac:dyDescent="0.25">
      <c r="A21" s="3"/>
      <c r="B21" s="4"/>
      <c r="C21" s="4"/>
      <c r="D21" s="4"/>
      <c r="E21" s="4"/>
      <c r="F21" s="4"/>
      <c r="G21" s="4"/>
      <c r="H21" s="21">
        <v>6</v>
      </c>
      <c r="I21" s="4"/>
      <c r="J21" s="5"/>
    </row>
    <row r="22" spans="1:10" x14ac:dyDescent="0.25">
      <c r="A22" s="3"/>
      <c r="B22" s="4"/>
      <c r="C22" s="4"/>
      <c r="D22" s="4"/>
      <c r="E22" s="4"/>
      <c r="F22" s="4"/>
      <c r="G22" s="4"/>
      <c r="H22" s="22"/>
      <c r="I22" s="4"/>
      <c r="J22" s="5"/>
    </row>
    <row r="23" spans="1:10" x14ac:dyDescent="0.25">
      <c r="A23" s="3"/>
      <c r="B23" s="4"/>
      <c r="C23" s="4"/>
      <c r="D23" s="4"/>
      <c r="E23" s="4"/>
      <c r="F23" s="4"/>
      <c r="G23" s="4"/>
      <c r="H23" s="4"/>
      <c r="I23" s="4"/>
      <c r="J23" s="5"/>
    </row>
    <row r="24" spans="1:10" x14ac:dyDescent="0.25">
      <c r="A24" s="3"/>
      <c r="B24" s="4"/>
      <c r="C24" s="4"/>
      <c r="D24" s="4"/>
      <c r="E24" s="4"/>
      <c r="F24" s="4"/>
      <c r="G24" s="4"/>
      <c r="H24" s="4"/>
      <c r="I24" s="4"/>
      <c r="J24" s="5"/>
    </row>
    <row r="25" spans="1:10" x14ac:dyDescent="0.25">
      <c r="A25" s="3"/>
      <c r="B25" s="4"/>
      <c r="C25" s="4"/>
      <c r="D25" s="4"/>
      <c r="E25" s="4"/>
      <c r="F25" s="4"/>
      <c r="G25" s="4"/>
      <c r="H25" s="4"/>
      <c r="I25" s="4"/>
      <c r="J25" s="5"/>
    </row>
    <row r="26" spans="1:10" x14ac:dyDescent="0.25">
      <c r="A26" s="3"/>
      <c r="B26" s="4"/>
      <c r="C26" s="4"/>
      <c r="D26" s="4"/>
      <c r="E26" s="4"/>
      <c r="F26" s="4"/>
      <c r="G26" s="4"/>
      <c r="H26" s="4"/>
      <c r="I26" s="4"/>
      <c r="J26" s="5"/>
    </row>
    <row r="27" spans="1:10" x14ac:dyDescent="0.25">
      <c r="A27" s="3"/>
      <c r="B27" s="4"/>
      <c r="C27" s="4"/>
      <c r="D27" s="4"/>
      <c r="E27" s="4"/>
      <c r="F27" s="4"/>
      <c r="G27" s="4"/>
      <c r="H27" s="4"/>
      <c r="I27" s="4"/>
      <c r="J27" s="5"/>
    </row>
    <row r="28" spans="1:10" x14ac:dyDescent="0.25">
      <c r="A28" s="3"/>
      <c r="B28" s="4"/>
      <c r="C28" s="4"/>
      <c r="D28" s="4"/>
      <c r="E28" s="4"/>
      <c r="F28" s="4"/>
      <c r="G28" s="4"/>
      <c r="H28" s="4"/>
      <c r="I28" s="4"/>
      <c r="J28" s="5"/>
    </row>
    <row r="29" spans="1:10" x14ac:dyDescent="0.25">
      <c r="A29" s="3"/>
      <c r="B29" s="4"/>
      <c r="C29" s="4"/>
      <c r="D29" s="4"/>
      <c r="E29" s="4"/>
      <c r="F29" s="4"/>
      <c r="G29" s="4"/>
      <c r="H29" s="4"/>
      <c r="I29" s="4"/>
      <c r="J29" s="5"/>
    </row>
    <row r="30" spans="1:10" x14ac:dyDescent="0.25">
      <c r="A30" s="3"/>
      <c r="B30" s="4"/>
      <c r="C30" s="4"/>
      <c r="D30" s="4"/>
      <c r="E30" s="4"/>
      <c r="F30" s="4"/>
      <c r="G30" s="4"/>
      <c r="H30" s="4"/>
      <c r="I30" s="4"/>
      <c r="J30" s="5"/>
    </row>
    <row r="31" spans="1:10" x14ac:dyDescent="0.25">
      <c r="A31" s="3"/>
      <c r="B31" s="4"/>
      <c r="C31" s="4"/>
      <c r="D31" s="4"/>
      <c r="E31" s="4"/>
      <c r="F31" s="4"/>
      <c r="G31" s="4"/>
      <c r="H31" s="4"/>
      <c r="I31" s="4"/>
      <c r="J31" s="5"/>
    </row>
    <row r="32" spans="1:10" x14ac:dyDescent="0.25">
      <c r="A32" s="3"/>
      <c r="B32" s="4"/>
      <c r="C32" s="4"/>
      <c r="D32" s="4"/>
      <c r="E32" s="4"/>
      <c r="F32" s="4"/>
      <c r="G32" s="4"/>
      <c r="H32" s="4"/>
      <c r="I32" s="4"/>
      <c r="J32" s="5"/>
    </row>
    <row r="33" spans="1:10" x14ac:dyDescent="0.25">
      <c r="A33" s="3"/>
      <c r="B33" s="4"/>
      <c r="C33" s="4"/>
      <c r="D33" s="4"/>
      <c r="E33" s="4"/>
      <c r="F33" s="4"/>
      <c r="G33" s="4"/>
      <c r="H33" s="4"/>
      <c r="I33" s="4"/>
      <c r="J33" s="5"/>
    </row>
    <row r="34" spans="1:10" ht="15.75" thickBot="1" x14ac:dyDescent="0.3">
      <c r="A34" s="9"/>
      <c r="B34" s="10"/>
      <c r="C34" s="10"/>
      <c r="D34" s="10"/>
      <c r="E34" s="10"/>
      <c r="F34" s="10"/>
      <c r="G34" s="10"/>
      <c r="H34" s="10"/>
      <c r="I34" s="10"/>
      <c r="J34" s="11"/>
    </row>
    <row r="40" spans="1:10" x14ac:dyDescent="0.25">
      <c r="A40">
        <v>1</v>
      </c>
    </row>
    <row r="41" spans="1:10" x14ac:dyDescent="0.25">
      <c r="A41">
        <v>2</v>
      </c>
    </row>
    <row r="42" spans="1:10" x14ac:dyDescent="0.25">
      <c r="A42">
        <v>1</v>
      </c>
    </row>
    <row r="43" spans="1:10" x14ac:dyDescent="0.25">
      <c r="A43">
        <v>6</v>
      </c>
    </row>
    <row r="44" spans="1:10" x14ac:dyDescent="0.25">
      <c r="A44">
        <v>2</v>
      </c>
    </row>
    <row r="45" spans="1:10" x14ac:dyDescent="0.25">
      <c r="A45">
        <v>1</v>
      </c>
    </row>
    <row r="46" spans="1:10" x14ac:dyDescent="0.25">
      <c r="A46">
        <v>2</v>
      </c>
    </row>
    <row r="47" spans="1:10" x14ac:dyDescent="0.25">
      <c r="A47">
        <v>1</v>
      </c>
    </row>
  </sheetData>
  <mergeCells count="8">
    <mergeCell ref="A1:J1"/>
    <mergeCell ref="H6:H7"/>
    <mergeCell ref="H21:H22"/>
    <mergeCell ref="B11:B12"/>
    <mergeCell ref="H11:H12"/>
    <mergeCell ref="C3:E3"/>
    <mergeCell ref="C4:E4"/>
    <mergeCell ref="C6:E6"/>
  </mergeCells>
  <hyperlinks>
    <hyperlink ref="C6" r:id="rId1" xr:uid="{47D767EA-938D-4DD3-B995-C9073360257B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Label 1">
              <controlPr defaultSize="0" autoFill="0" autoLine="0" autoPict="0">
                <anchor moveWithCells="1" sizeWithCells="1">
                  <from>
                    <xdr:col>0</xdr:col>
                    <xdr:colOff>438150</xdr:colOff>
                    <xdr:row>2</xdr:row>
                    <xdr:rowOff>28575</xdr:rowOff>
                  </from>
                  <to>
                    <xdr:col>1</xdr:col>
                    <xdr:colOff>438150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Group Box 2">
              <controlPr defaultSize="0" autoFill="0" autoPict="0">
                <anchor moveWithCells="1">
                  <from>
                    <xdr:col>0</xdr:col>
                    <xdr:colOff>95250</xdr:colOff>
                    <xdr:row>1</xdr:row>
                    <xdr:rowOff>9525</xdr:rowOff>
                  </from>
                  <to>
                    <xdr:col>9</xdr:col>
                    <xdr:colOff>438150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Label 11">
              <controlPr defaultSize="0" autoFill="0" autoLine="0" autoPict="0">
                <anchor moveWithCells="1" sizeWithCells="1">
                  <from>
                    <xdr:col>7</xdr:col>
                    <xdr:colOff>142875</xdr:colOff>
                    <xdr:row>3</xdr:row>
                    <xdr:rowOff>171450</xdr:rowOff>
                  </from>
                  <to>
                    <xdr:col>8</xdr:col>
                    <xdr:colOff>228600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Spinner 12">
              <controlPr defaultSize="0" autoPict="0">
                <anchor moveWithCells="1" sizeWithCells="1">
                  <from>
                    <xdr:col>8</xdr:col>
                    <xdr:colOff>9525</xdr:colOff>
                    <xdr:row>5</xdr:row>
                    <xdr:rowOff>9525</xdr:rowOff>
                  </from>
                  <to>
                    <xdr:col>8</xdr:col>
                    <xdr:colOff>381000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Label 13">
              <controlPr defaultSize="0" autoFill="0" autoLine="0" autoPict="0">
                <anchor moveWithCells="1" sizeWithCells="1">
                  <from>
                    <xdr:col>0</xdr:col>
                    <xdr:colOff>457200</xdr:colOff>
                    <xdr:row>4</xdr:row>
                    <xdr:rowOff>161925</xdr:rowOff>
                  </from>
                  <to>
                    <xdr:col>1</xdr:col>
                    <xdr:colOff>323850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Group Box 14">
              <controlPr defaultSize="0" autoFill="0" autoPict="0">
                <anchor moveWithCells="1">
                  <from>
                    <xdr:col>0</xdr:col>
                    <xdr:colOff>104775</xdr:colOff>
                    <xdr:row>8</xdr:row>
                    <xdr:rowOff>47625</xdr:rowOff>
                  </from>
                  <to>
                    <xdr:col>9</xdr:col>
                    <xdr:colOff>447675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Label 15">
              <controlPr defaultSize="0" autoFill="0" autoLine="0" autoPict="0">
                <anchor moveWithCells="1" sizeWithCells="1">
                  <from>
                    <xdr:col>1</xdr:col>
                    <xdr:colOff>142875</xdr:colOff>
                    <xdr:row>8</xdr:row>
                    <xdr:rowOff>161925</xdr:rowOff>
                  </from>
                  <to>
                    <xdr:col>3</xdr:col>
                    <xdr:colOff>161925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Spinner 16">
              <controlPr defaultSize="0" autoPict="0">
                <anchor moveWithCells="1" sizeWithCells="1">
                  <from>
                    <xdr:col>2</xdr:col>
                    <xdr:colOff>9525</xdr:colOff>
                    <xdr:row>9</xdr:row>
                    <xdr:rowOff>190500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Label 19">
              <controlPr defaultSize="0" autoFill="0" autoLine="0" autoPict="0">
                <anchor moveWithCells="1" sizeWithCells="1">
                  <from>
                    <xdr:col>7</xdr:col>
                    <xdr:colOff>200025</xdr:colOff>
                    <xdr:row>8</xdr:row>
                    <xdr:rowOff>152400</xdr:rowOff>
                  </from>
                  <to>
                    <xdr:col>8</xdr:col>
                    <xdr:colOff>190500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4" name="Spinner 21">
              <controlPr defaultSize="0" autoPict="0">
                <anchor moveWithCells="1" sizeWithCells="1">
                  <from>
                    <xdr:col>8</xdr:col>
                    <xdr:colOff>9525</xdr:colOff>
                    <xdr:row>9</xdr:row>
                    <xdr:rowOff>190500</xdr:rowOff>
                  </from>
                  <to>
                    <xdr:col>9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5" name="Option Button 26">
              <controlPr defaultSize="0" autoFill="0" autoLine="0" autoPict="0">
                <anchor moveWithCells="1">
                  <from>
                    <xdr:col>0</xdr:col>
                    <xdr:colOff>657225</xdr:colOff>
                    <xdr:row>13</xdr:row>
                    <xdr:rowOff>171450</xdr:rowOff>
                  </from>
                  <to>
                    <xdr:col>2</xdr:col>
                    <xdr:colOff>28575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6" name="Option Button 27">
              <controlPr defaultSize="0" autoFill="0" autoLine="0" autoPict="0">
                <anchor moveWithCells="1">
                  <from>
                    <xdr:col>2</xdr:col>
                    <xdr:colOff>190500</xdr:colOff>
                    <xdr:row>13</xdr:row>
                    <xdr:rowOff>161925</xdr:rowOff>
                  </from>
                  <to>
                    <xdr:col>3</xdr:col>
                    <xdr:colOff>257175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7" name="Group Box 28">
              <controlPr defaultSize="0" autoFill="0" autoPict="0">
                <anchor moveWithCells="1">
                  <from>
                    <xdr:col>0</xdr:col>
                    <xdr:colOff>371475</xdr:colOff>
                    <xdr:row>13</xdr:row>
                    <xdr:rowOff>28575</xdr:rowOff>
                  </from>
                  <to>
                    <xdr:col>4</xdr:col>
                    <xdr:colOff>304800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8" name="Group Box 29">
              <controlPr defaultSize="0" autoFill="0" autoPict="0">
                <anchor moveWithCells="1">
                  <from>
                    <xdr:col>5</xdr:col>
                    <xdr:colOff>200025</xdr:colOff>
                    <xdr:row>13</xdr:row>
                    <xdr:rowOff>19050</xdr:rowOff>
                  </from>
                  <to>
                    <xdr:col>9</xdr:col>
                    <xdr:colOff>381000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9" name="Group Box 33">
              <controlPr defaultSize="0" autoFill="0" autoPict="0">
                <anchor moveWithCells="1">
                  <from>
                    <xdr:col>5</xdr:col>
                    <xdr:colOff>466725</xdr:colOff>
                    <xdr:row>2</xdr:row>
                    <xdr:rowOff>0</xdr:rowOff>
                  </from>
                  <to>
                    <xdr:col>9</xdr:col>
                    <xdr:colOff>247650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0" name="Option Button 36">
              <controlPr defaultSize="0" autoFill="0" autoLine="0" autoPict="0">
                <anchor moveWithCells="1">
                  <from>
                    <xdr:col>5</xdr:col>
                    <xdr:colOff>504825</xdr:colOff>
                    <xdr:row>2</xdr:row>
                    <xdr:rowOff>95250</xdr:rowOff>
                  </from>
                  <to>
                    <xdr:col>6</xdr:col>
                    <xdr:colOff>342900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1" name="Option Button 37">
              <controlPr defaultSize="0" autoFill="0" autoLine="0" autoPict="0">
                <anchor moveWithCells="1">
                  <from>
                    <xdr:col>7</xdr:col>
                    <xdr:colOff>238125</xdr:colOff>
                    <xdr:row>2</xdr:row>
                    <xdr:rowOff>85725</xdr:rowOff>
                  </from>
                  <to>
                    <xdr:col>8</xdr:col>
                    <xdr:colOff>304800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22" name="Option Button 52">
              <controlPr defaultSize="0" autoFill="0" autoLine="0" autoPict="0">
                <anchor moveWithCells="1">
                  <from>
                    <xdr:col>5</xdr:col>
                    <xdr:colOff>266700</xdr:colOff>
                    <xdr:row>13</xdr:row>
                    <xdr:rowOff>161925</xdr:rowOff>
                  </from>
                  <to>
                    <xdr:col>6</xdr:col>
                    <xdr:colOff>66675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23" name="Option Button 53">
              <controlPr defaultSize="0" autoFill="0" autoLine="0" autoPict="0">
                <anchor moveWithCells="1">
                  <from>
                    <xdr:col>6</xdr:col>
                    <xdr:colOff>285750</xdr:colOff>
                    <xdr:row>13</xdr:row>
                    <xdr:rowOff>161925</xdr:rowOff>
                  </from>
                  <to>
                    <xdr:col>8</xdr:col>
                    <xdr:colOff>76200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24" name="Option Button 54">
              <controlPr defaultSize="0" autoFill="0" autoLine="0" autoPict="0">
                <anchor moveWithCells="1">
                  <from>
                    <xdr:col>8</xdr:col>
                    <xdr:colOff>238125</xdr:colOff>
                    <xdr:row>13</xdr:row>
                    <xdr:rowOff>152400</xdr:rowOff>
                  </from>
                  <to>
                    <xdr:col>9</xdr:col>
                    <xdr:colOff>276225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25" name="Group Box 56">
              <controlPr defaultSize="0" autoFill="0" autoPict="0">
                <anchor moveWithCells="1">
                  <from>
                    <xdr:col>0</xdr:col>
                    <xdr:colOff>95250</xdr:colOff>
                    <xdr:row>17</xdr:row>
                    <xdr:rowOff>0</xdr:rowOff>
                  </from>
                  <to>
                    <xdr:col>9</xdr:col>
                    <xdr:colOff>457200</xdr:colOff>
                    <xdr:row>25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6" name="Drop Down 58">
              <controlPr defaultSize="0" autoLine="0" autoPict="0">
                <anchor moveWithCells="1">
                  <from>
                    <xdr:col>2</xdr:col>
                    <xdr:colOff>381000</xdr:colOff>
                    <xdr:row>19</xdr:row>
                    <xdr:rowOff>9525</xdr:rowOff>
                  </from>
                  <to>
                    <xdr:col>5</xdr:col>
                    <xdr:colOff>381000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7" name="Label 59">
              <controlPr defaultSize="0" autoFill="0" autoLine="0" autoPict="0">
                <anchor moveWithCells="1">
                  <from>
                    <xdr:col>0</xdr:col>
                    <xdr:colOff>381000</xdr:colOff>
                    <xdr:row>19</xdr:row>
                    <xdr:rowOff>0</xdr:rowOff>
                  </from>
                  <to>
                    <xdr:col>2</xdr:col>
                    <xdr:colOff>333375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28" name="Label 61">
              <controlPr defaultSize="0" autoFill="0" autoLine="0" autoPict="0">
                <anchor moveWithCells="1">
                  <from>
                    <xdr:col>6</xdr:col>
                    <xdr:colOff>190500</xdr:colOff>
                    <xdr:row>18</xdr:row>
                    <xdr:rowOff>142875</xdr:rowOff>
                  </from>
                  <to>
                    <xdr:col>9</xdr:col>
                    <xdr:colOff>295275</xdr:colOff>
                    <xdr:row>19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29" name="Spinner 63">
              <controlPr defaultSize="0" autoPict="0">
                <anchor moveWithCells="1" sizeWithCells="1">
                  <from>
                    <xdr:col>8</xdr:col>
                    <xdr:colOff>9525</xdr:colOff>
                    <xdr:row>19</xdr:row>
                    <xdr:rowOff>180975</xdr:rowOff>
                  </from>
                  <to>
                    <xdr:col>8</xdr:col>
                    <xdr:colOff>381000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30" name="Option Button 67">
              <controlPr defaultSize="0" autoFill="0" autoLine="0" autoPict="0">
                <anchor moveWithCells="1">
                  <from>
                    <xdr:col>2</xdr:col>
                    <xdr:colOff>361950</xdr:colOff>
                    <xdr:row>23</xdr:row>
                    <xdr:rowOff>142875</xdr:rowOff>
                  </from>
                  <to>
                    <xdr:col>4</xdr:col>
                    <xdr:colOff>47625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31" name="Option Button 68">
              <controlPr defaultSize="0" autoFill="0" autoLine="0" autoPict="0">
                <anchor moveWithCells="1">
                  <from>
                    <xdr:col>5</xdr:col>
                    <xdr:colOff>104775</xdr:colOff>
                    <xdr:row>23</xdr:row>
                    <xdr:rowOff>152400</xdr:rowOff>
                  </from>
                  <to>
                    <xdr:col>5</xdr:col>
                    <xdr:colOff>552450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32" name="Group Box 69">
              <controlPr defaultSize="0" autoFill="0" autoPict="0">
                <anchor moveWithCells="1">
                  <from>
                    <xdr:col>0</xdr:col>
                    <xdr:colOff>371475</xdr:colOff>
                    <xdr:row>22</xdr:row>
                    <xdr:rowOff>190500</xdr:rowOff>
                  </from>
                  <to>
                    <xdr:col>9</xdr:col>
                    <xdr:colOff>161925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33" name="Group Box 71">
              <controlPr defaultSize="0" autoFill="0" autoPict="0">
                <anchor moveWithCells="1">
                  <from>
                    <xdr:col>0</xdr:col>
                    <xdr:colOff>95250</xdr:colOff>
                    <xdr:row>26</xdr:row>
                    <xdr:rowOff>0</xdr:rowOff>
                  </from>
                  <to>
                    <xdr:col>9</xdr:col>
                    <xdr:colOff>457200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34" name="Group Box 76">
              <controlPr defaultSize="0" autoFill="0" autoPict="0">
                <anchor moveWithCells="1">
                  <from>
                    <xdr:col>0</xdr:col>
                    <xdr:colOff>342900</xdr:colOff>
                    <xdr:row>27</xdr:row>
                    <xdr:rowOff>0</xdr:rowOff>
                  </from>
                  <to>
                    <xdr:col>5</xdr:col>
                    <xdr:colOff>323850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35" name="Option Button 77">
              <controlPr defaultSize="0" autoFill="0" autoLine="0" autoPict="0">
                <anchor moveWithCells="1">
                  <from>
                    <xdr:col>0</xdr:col>
                    <xdr:colOff>409575</xdr:colOff>
                    <xdr:row>27</xdr:row>
                    <xdr:rowOff>142875</xdr:rowOff>
                  </from>
                  <to>
                    <xdr:col>1</xdr:col>
                    <xdr:colOff>123825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36" name="Option Button 78">
              <controlPr defaultSize="0" autoFill="0" autoLine="0" autoPict="0">
                <anchor moveWithCells="1">
                  <from>
                    <xdr:col>1</xdr:col>
                    <xdr:colOff>342900</xdr:colOff>
                    <xdr:row>27</xdr:row>
                    <xdr:rowOff>142875</xdr:rowOff>
                  </from>
                  <to>
                    <xdr:col>3</xdr:col>
                    <xdr:colOff>123825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37" name="Option Button 79">
              <controlPr defaultSize="0" autoFill="0" autoLine="0" autoPict="0">
                <anchor moveWithCells="1">
                  <from>
                    <xdr:col>3</xdr:col>
                    <xdr:colOff>342900</xdr:colOff>
                    <xdr:row>27</xdr:row>
                    <xdr:rowOff>142875</xdr:rowOff>
                  </from>
                  <to>
                    <xdr:col>5</xdr:col>
                    <xdr:colOff>266700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8" name="Option Button 83">
              <controlPr defaultSize="0" autoFill="0" autoLine="0" autoPict="0">
                <anchor moveWithCells="1">
                  <from>
                    <xdr:col>5</xdr:col>
                    <xdr:colOff>609600</xdr:colOff>
                    <xdr:row>27</xdr:row>
                    <xdr:rowOff>142875</xdr:rowOff>
                  </from>
                  <to>
                    <xdr:col>7</xdr:col>
                    <xdr:colOff>333375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39" name="Option Button 84">
              <controlPr defaultSize="0" autoFill="0" autoLine="0" autoPict="0">
                <anchor moveWithCells="1">
                  <from>
                    <xdr:col>7</xdr:col>
                    <xdr:colOff>352425</xdr:colOff>
                    <xdr:row>27</xdr:row>
                    <xdr:rowOff>133350</xdr:rowOff>
                  </from>
                  <to>
                    <xdr:col>9</xdr:col>
                    <xdr:colOff>266700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40" name="Group Box 85">
              <controlPr defaultSize="0" autoFill="0" autoPict="0">
                <anchor moveWithCells="1">
                  <from>
                    <xdr:col>5</xdr:col>
                    <xdr:colOff>600075</xdr:colOff>
                    <xdr:row>26</xdr:row>
                    <xdr:rowOff>190500</xdr:rowOff>
                  </from>
                  <to>
                    <xdr:col>9</xdr:col>
                    <xdr:colOff>323850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41" name="Group Box 86">
              <controlPr defaultSize="0" autoFill="0" autoPict="0">
                <anchor moveWithCells="1">
                  <from>
                    <xdr:col>0</xdr:col>
                    <xdr:colOff>342900</xdr:colOff>
                    <xdr:row>30</xdr:row>
                    <xdr:rowOff>9525</xdr:rowOff>
                  </from>
                  <to>
                    <xdr:col>9</xdr:col>
                    <xdr:colOff>323850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42" name="Option Button 89">
              <controlPr defaultSize="0" autoFill="0" autoLine="0" autoPict="0">
                <anchor moveWithCells="1">
                  <from>
                    <xdr:col>2</xdr:col>
                    <xdr:colOff>381000</xdr:colOff>
                    <xdr:row>30</xdr:row>
                    <xdr:rowOff>142875</xdr:rowOff>
                  </from>
                  <to>
                    <xdr:col>4</xdr:col>
                    <xdr:colOff>66675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3" name="Option Button 90">
              <controlPr defaultSize="0" autoFill="0" autoLine="0" autoPict="0">
                <anchor moveWithCells="1">
                  <from>
                    <xdr:col>5</xdr:col>
                    <xdr:colOff>123825</xdr:colOff>
                    <xdr:row>30</xdr:row>
                    <xdr:rowOff>152400</xdr:rowOff>
                  </from>
                  <to>
                    <xdr:col>5</xdr:col>
                    <xdr:colOff>571500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44" name="Button 91">
              <controlPr defaultSize="0" print="0" autoFill="0" autoPict="0" macro="[0]!_xludf.Copy">
                <anchor moveWithCells="1" sizeWithCells="1">
                  <from>
                    <xdr:col>11</xdr:col>
                    <xdr:colOff>942975</xdr:colOff>
                    <xdr:row>18</xdr:row>
                    <xdr:rowOff>9525</xdr:rowOff>
                  </from>
                  <to>
                    <xdr:col>14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45" name="Button 92">
              <controlPr defaultSize="0" print="0" autoFill="0" autoPict="0" macro="[0]!Delete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14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FA69E-1789-4A69-BE72-42CE91A30612}">
  <sheetPr codeName="Sheet2"/>
  <dimension ref="A1:R1"/>
  <sheetViews>
    <sheetView zoomScale="85" zoomScaleNormal="85" workbookViewId="0">
      <selection activeCell="D32" sqref="D32"/>
    </sheetView>
  </sheetViews>
  <sheetFormatPr defaultRowHeight="15" x14ac:dyDescent="0.25"/>
  <cols>
    <col min="1" max="1" width="9.28515625" customWidth="1"/>
    <col min="2" max="2" width="11.7109375" customWidth="1"/>
    <col min="3" max="3" width="9.140625" style="12"/>
    <col min="4" max="4" width="10.140625" style="12" customWidth="1"/>
    <col min="5" max="7" width="9.140625" style="12"/>
    <col min="8" max="8" width="14.85546875" style="12" customWidth="1"/>
    <col min="9" max="9" width="13" style="12" customWidth="1"/>
    <col min="10" max="10" width="21.7109375" style="12" customWidth="1"/>
    <col min="11" max="11" width="22.85546875" style="12" customWidth="1"/>
    <col min="12" max="12" width="18.28515625" style="12" customWidth="1"/>
    <col min="13" max="13" width="25" style="12" customWidth="1"/>
    <col min="14" max="14" width="16" style="12" customWidth="1"/>
    <col min="15" max="15" width="12.28515625" style="12" customWidth="1"/>
    <col min="16" max="16" width="24" style="12" customWidth="1"/>
    <col min="17" max="17" width="17.7109375" style="12" customWidth="1"/>
    <col min="18" max="18" width="10.5703125" style="12" customWidth="1"/>
  </cols>
  <sheetData>
    <row r="1" spans="1:18" ht="45" customHeight="1" x14ac:dyDescent="0.25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13" t="s">
        <v>9</v>
      </c>
      <c r="I1" s="13" t="s">
        <v>10</v>
      </c>
      <c r="J1" s="2" t="s">
        <v>8</v>
      </c>
      <c r="K1" s="16" t="s">
        <v>27</v>
      </c>
      <c r="L1" s="14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3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Registration</vt:lpstr>
      <vt:lpstr>Base</vt:lpstr>
    </vt:vector>
  </TitlesOfParts>
  <Company>Krokoz™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arsenabcd234@gmail.com</dc:creator>
  <cp:lastModifiedBy>arsenabcd234@gmail.com</cp:lastModifiedBy>
  <dcterms:created xsi:type="dcterms:W3CDTF">2025-04-24T11:40:21Z</dcterms:created>
  <dcterms:modified xsi:type="dcterms:W3CDTF">2025-04-24T20:30:15Z</dcterms:modified>
</cp:coreProperties>
</file>